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tc={94fa9afb-924e-4aff-a800-a6c5e0dff38a}</author>
  </authors>
  <commentList>
    <comment authorId="0" xr:uid="{94fa9afb-924e-4aff-a800-a6c5e0dff38a}" ref="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@gpascualfon@gmail.com
S’ha assignat a gpascualfon@gmail.com
</t>
      </text>
    </comment>
  </commentList>
</comments>
</file>

<file path=xl/sharedStrings.xml><?xml version="1.0" encoding="utf-8"?>
<sst xmlns="http://schemas.openxmlformats.org/spreadsheetml/2006/main" count="127" uniqueCount="48">
  <si>
    <t>OCASIÓN PLUS</t>
  </si>
  <si>
    <t>QUADIS</t>
  </si>
  <si>
    <t>Periodo (año)</t>
  </si>
  <si>
    <t>Concepto</t>
  </si>
  <si>
    <t>Periodicidad</t>
  </si>
  <si>
    <t>Coste total (anual)</t>
  </si>
  <si>
    <t>INGRESOS (anual)</t>
  </si>
  <si>
    <t>Cliente 1 - OP</t>
  </si>
  <si>
    <t>Cliente 2 - Quadis</t>
  </si>
  <si>
    <t>Esc</t>
  </si>
  <si>
    <t>Periodo facturación</t>
  </si>
  <si>
    <t>Coste mensual</t>
  </si>
  <si>
    <t>Coste anual</t>
  </si>
  <si>
    <t>Total facturado a OP</t>
  </si>
  <si>
    <t>Compromiso</t>
  </si>
  <si>
    <t>Año 1</t>
  </si>
  <si>
    <t>Registro de la propiedad intelectual (Europa)</t>
  </si>
  <si>
    <t>One shot</t>
  </si>
  <si>
    <t>1 - Baseline (alquiler SaaS)</t>
  </si>
  <si>
    <t>año 1</t>
  </si>
  <si>
    <t>1 año</t>
  </si>
  <si>
    <t>Infraestructura cloud</t>
  </si>
  <si>
    <t>Anual</t>
  </si>
  <si>
    <t>año 3</t>
  </si>
  <si>
    <t>3 años</t>
  </si>
  <si>
    <t>Página web</t>
  </si>
  <si>
    <t>One Shot</t>
  </si>
  <si>
    <t>año 5</t>
  </si>
  <si>
    <t>5 años</t>
  </si>
  <si>
    <t>Fee agencia LinkedIn Ads + Inversión en medios</t>
  </si>
  <si>
    <t>Data Engineer</t>
  </si>
  <si>
    <t>2 - Alquiler SaaS con exclusividad</t>
  </si>
  <si>
    <t>Data Scientist</t>
  </si>
  <si>
    <t>Año 2</t>
  </si>
  <si>
    <t>3 - Alquiler SaaS con penalizaciones por incumplimiento de contrato</t>
  </si>
  <si>
    <t xml:space="preserve">En caso de incumplir los términos y conidiciones contractuales a nivel fechas (compromiso de años), el cliente deberá abonar la diferencia a ElasticDrive, siendo esta el precio mensual fijado en compromiso de 12 meses por el total de meses acumulado como cliente, sumado a una penalización del 10% on top al coste total recalculado. </t>
  </si>
  <si>
    <t>Año 3</t>
  </si>
  <si>
    <t>Año 4</t>
  </si>
  <si>
    <t>Año 5</t>
  </si>
  <si>
    <t>COSTE TOTAL</t>
  </si>
  <si>
    <t>Margen contributivo</t>
  </si>
  <si>
    <t>Curva cashflow 5 años - ElasticDrive</t>
  </si>
  <si>
    <t>Periodo</t>
  </si>
  <si>
    <t>Coste</t>
  </si>
  <si>
    <t>Ingresos</t>
  </si>
  <si>
    <t>ROI Anual</t>
  </si>
  <si>
    <t>ROI Acumulado</t>
  </si>
  <si>
    <t>Año 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</si>
</sst>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5">
    <font>
      <sz val="10.0"/>
      <color rgb="FF000000"/>
      <name val="Arial"/>
      <scheme val="minor"/>
    </font>
    <font>
      <color theme="1"/>
      <name val="Nunito"/>
    </font>
    <font>
      <b/>
      <color rgb="FFFFFFFF"/>
      <name val="Nunito"/>
    </font>
    <font>
      <b/>
      <color theme="1"/>
      <name val="Nunito"/>
    </font>
    <font/>
  </fonts>
  <fills count="8">
    <fill>
      <patternFill patternType="none"/>
    </fill>
    <fill>
      <patternFill patternType="lightGray"/>
    </fill>
    <fill>
      <patternFill patternType="solid">
        <fgColor rgb="FF20124D"/>
        <bgColor rgb="FF20124D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2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164" xfId="0" applyAlignment="1" applyBorder="1" applyFont="1" applyNumberFormat="1">
      <alignment horizontal="center" readingOrder="0" vertical="center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2" fillId="3" fontId="1" numFmtId="0" xfId="0" applyAlignment="1" applyBorder="1" applyFill="1" applyFont="1">
      <alignment horizontal="center" readingOrder="0" vertical="center"/>
    </xf>
    <xf borderId="3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vertical="center"/>
    </xf>
    <xf borderId="4" fillId="0" fontId="1" numFmtId="164" xfId="0" applyAlignment="1" applyBorder="1" applyFont="1" applyNumberForma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5" fillId="0" fontId="4" numFmtId="0" xfId="0" applyBorder="1" applyFont="1"/>
    <xf borderId="6" fillId="0" fontId="1" numFmtId="164" xfId="0" applyAlignment="1" applyBorder="1" applyFont="1" applyNumberFormat="1">
      <alignment horizontal="center" readingOrder="0" vertical="center"/>
    </xf>
    <xf borderId="7" fillId="0" fontId="4" numFmtId="0" xfId="0" applyBorder="1" applyFont="1"/>
    <xf borderId="8" fillId="0" fontId="1" numFmtId="0" xfId="0" applyAlignment="1" applyBorder="1" applyFont="1">
      <alignment horizontal="center" readingOrder="0" vertical="center"/>
    </xf>
    <xf borderId="9" fillId="0" fontId="1" numFmtId="164" xfId="0" applyAlignment="1" applyBorder="1" applyFont="1" applyNumberForma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5" fillId="3" fontId="1" numFmtId="0" xfId="0" applyAlignment="1" applyBorder="1" applyFont="1">
      <alignment horizontal="center" readingOrder="0" vertical="center"/>
    </xf>
    <xf borderId="10" fillId="4" fontId="2" numFmtId="0" xfId="0" applyAlignment="1" applyBorder="1" applyFill="1" applyFont="1">
      <alignment horizontal="center" readingOrder="0" vertical="center"/>
    </xf>
    <xf borderId="11" fillId="0" fontId="4" numFmtId="0" xfId="0" applyBorder="1" applyFont="1"/>
    <xf borderId="12" fillId="0" fontId="4" numFmtId="0" xfId="0" applyBorder="1" applyFont="1"/>
    <xf borderId="1" fillId="4" fontId="2" numFmtId="164" xfId="0" applyAlignment="1" applyBorder="1" applyFont="1" applyNumberFormat="1">
      <alignment horizontal="center" vertical="center"/>
    </xf>
    <xf borderId="10" fillId="5" fontId="3" numFmtId="164" xfId="0" applyAlignment="1" applyBorder="1" applyFill="1" applyFont="1" applyNumberFormat="1">
      <alignment horizontal="center" vertical="center"/>
    </xf>
    <xf borderId="1" fillId="6" fontId="3" numFmtId="0" xfId="0" applyAlignment="1" applyBorder="1" applyFill="1" applyFont="1">
      <alignment horizontal="center" readingOrder="0" vertical="center"/>
    </xf>
    <xf borderId="10" fillId="6" fontId="3" numFmtId="164" xfId="0" applyAlignment="1" applyBorder="1" applyFont="1" applyNumberFormat="1">
      <alignment horizontal="center" vertical="center"/>
    </xf>
    <xf borderId="0" fillId="7" fontId="1" numFmtId="0" xfId="0" applyAlignment="1" applyFill="1" applyFont="1">
      <alignment horizontal="center" readingOrder="0" vertical="center"/>
    </xf>
    <xf borderId="0" fillId="7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2"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20124D"/>
                </a:solidFill>
                <a:latin typeface="+mn-lt"/>
              </a:defRPr>
            </a:pPr>
            <a:r>
              <a:rPr b="1">
                <a:solidFill>
                  <a:srgbClr val="20124D"/>
                </a:solidFill>
                <a:latin typeface="+mn-lt"/>
              </a:rPr>
              <a:t>Cashflow Curve - ElasticDrive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'Full 1'!$H$42</c:f>
            </c:strRef>
          </c:tx>
          <c:spPr>
            <a:solidFill>
              <a:srgbClr val="F1C232">
                <a:alpha val="30000"/>
              </a:srgbClr>
            </a:solidFill>
            <a:ln cmpd="sng">
              <a:solidFill>
                <a:srgbClr val="F1C232">
                  <a:alpha val="100000"/>
                </a:srgbClr>
              </a:solidFill>
            </a:ln>
          </c:spPr>
          <c:cat>
            <c:strRef>
              <c:f>'Full 1'!$D$43:$D$48</c:f>
            </c:strRef>
          </c:cat>
          <c:val>
            <c:numRef>
              <c:f>'Full 1'!$H$43:$H$48</c:f>
              <c:numCache/>
            </c:numRef>
          </c:val>
        </c:ser>
        <c:axId val="1535490366"/>
        <c:axId val="1276257719"/>
      </c:areaChart>
      <c:catAx>
        <c:axId val="15354903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Periodo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6257719"/>
      </c:catAx>
      <c:valAx>
        <c:axId val="12762577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ROI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5354903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>
  <Task id="{d9377cd4-b931-4c08-b669-48482f898929}">
    <Anchor>
      <Comment id="{94fa9afb-924e-4aff-a800-a6c5e0dff38a}"/>
    </Anchor>
    <History>
      <Event time="2026-02-05T16:14:53.00" id="{b9c16810-bdd2-4ef6-9f47-7302cc23b885}">
        <Attribution userId="placeholder@email.com" userName="Marc Tomás" userProvider="google-sheets"/>
        <Anchor>
          <Comment id="{94fa9afb-924e-4aff-a800-a6c5e0dff38a}"/>
        </Anchor>
        <Create/>
      </Event>
      <Event time="2026-02-05T16:14:53.00" id="{1eca92d9-a23b-445f-b5cd-ab362dc7a4b2}">
        <Attribution userId="placeholder@email.com" userName="Marc Tomás" userProvider="google-sheets"/>
        <Anchor>
          <Comment id="{94fa9afb-924e-4aff-a800-a6c5e0dff38a}"/>
        </Anchor>
        <Assign userId="gpascualfon@gmail.com" userName="gpascualfon@gmail.com" userProvider="google-sheets"/>
      </Event>
    </History>
  </Task>
</Task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428625</xdr:colOff>
      <xdr:row>18</xdr:row>
      <xdr:rowOff>180975</xdr:rowOff>
    </xdr:from>
    <xdr:ext cx="6743700" cy="4572000"/>
    <xdr:graphicFrame>
      <xdr:nvGraphicFramePr>
        <xdr:cNvPr id="1" name="Chart 1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gpascualfon@gmail.com" id="{bb8a1300-ad29-48d0-bbd0-722693f2e25f}" userId="gpascualfon@gmail.com" providerId="google-sheets"/>
  <x18tc:person displayName="Marc Tomás" id="{3a98728e-37be-4157-9e40-bd0946daaa6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5" dT="2026-02-05T16:14:53.00" personId="{3a98728e-37be-4157-9e40-bd0946daaa63}" id="{94fa9afb-924e-4aff-a800-a6c5e0dff38a}" done="0">
    <x18tc:text xml:space="preserve">@gpascualfon@gmail.com
S’ha assignat a gpascualfon@gmail.com</x18tc:text>
    <x18tc:mentions>
      <x18tc:mention mentionpersonId="{bb8a1300-ad29-48d0-bbd0-722693f2e25f}" mentionId="{dfd9534d-0b17-4f0d-b734-3f113223f91a}" startIndex="0" length="22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.63"/>
    <col customWidth="1" min="3" max="3" width="19.38"/>
    <col customWidth="1" min="4" max="4" width="34.13"/>
    <col customWidth="1" min="5" max="5" width="14.63"/>
    <col customWidth="1" min="6" max="6" width="16.25"/>
    <col customWidth="1" min="11" max="11" width="21.0"/>
    <col customWidth="1" min="17" max="17" width="4.0"/>
    <col customWidth="1" min="18" max="18" width="19.63"/>
  </cols>
  <sheetData>
    <row r="1">
      <c r="A1" s="1"/>
      <c r="B1" s="1"/>
      <c r="C1" s="1"/>
      <c r="D1" s="1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1"/>
      <c r="C2" s="1"/>
      <c r="D2" s="1"/>
      <c r="E2" s="2"/>
      <c r="F2" s="2"/>
      <c r="G2" s="2"/>
      <c r="H2" s="2"/>
      <c r="I2" s="1"/>
      <c r="J2" s="1"/>
      <c r="K2" s="3" t="s">
        <v>0</v>
      </c>
      <c r="Q2" s="4"/>
      <c r="R2" s="3" t="s">
        <v>1</v>
      </c>
      <c r="X2" s="1"/>
      <c r="Y2" s="1"/>
      <c r="Z2" s="1"/>
      <c r="AA2" s="1"/>
      <c r="AB2" s="1"/>
    </row>
    <row r="3">
      <c r="A3" s="1"/>
      <c r="B3" s="5" t="s">
        <v>2</v>
      </c>
      <c r="C3" s="5" t="s">
        <v>3</v>
      </c>
      <c r="D3" s="5" t="s">
        <v>4</v>
      </c>
      <c r="E3" s="6" t="s">
        <v>5</v>
      </c>
      <c r="F3" s="6" t="s">
        <v>6</v>
      </c>
      <c r="G3" s="6" t="s">
        <v>7</v>
      </c>
      <c r="H3" s="7" t="s">
        <v>8</v>
      </c>
      <c r="I3" s="1"/>
      <c r="J3" s="1"/>
      <c r="K3" s="8" t="s">
        <v>9</v>
      </c>
      <c r="L3" s="8" t="s">
        <v>10</v>
      </c>
      <c r="M3" s="8" t="s">
        <v>11</v>
      </c>
      <c r="N3" s="8" t="s">
        <v>12</v>
      </c>
      <c r="O3" s="8" t="s">
        <v>13</v>
      </c>
      <c r="P3" s="8" t="s">
        <v>14</v>
      </c>
      <c r="Q3" s="1"/>
      <c r="R3" s="8" t="s">
        <v>9</v>
      </c>
      <c r="S3" s="8" t="s">
        <v>10</v>
      </c>
      <c r="T3" s="8" t="s">
        <v>11</v>
      </c>
      <c r="U3" s="8" t="s">
        <v>12</v>
      </c>
      <c r="V3" s="8" t="s">
        <v>13</v>
      </c>
      <c r="W3" s="8" t="s">
        <v>14</v>
      </c>
      <c r="X3" s="1"/>
      <c r="Y3" s="1"/>
      <c r="Z3" s="1"/>
      <c r="AA3" s="1"/>
      <c r="AB3" s="1"/>
    </row>
    <row r="4">
      <c r="A4" s="1"/>
      <c r="B4" s="9" t="s">
        <v>15</v>
      </c>
      <c r="C4" s="10" t="s">
        <v>16</v>
      </c>
      <c r="D4" s="11" t="s">
        <v>17</v>
      </c>
      <c r="E4" s="12">
        <v>10000.0</v>
      </c>
      <c r="F4" s="13">
        <v>0.0</v>
      </c>
      <c r="G4" s="2"/>
      <c r="H4" s="2"/>
      <c r="I4" s="1"/>
      <c r="J4" s="1"/>
      <c r="K4" s="8" t="s">
        <v>18</v>
      </c>
      <c r="L4" s="14" t="s">
        <v>19</v>
      </c>
      <c r="M4" s="13">
        <v>9500.0</v>
      </c>
      <c r="N4" s="2">
        <f t="shared" ref="N4:N6" si="1">M4*12</f>
        <v>114000</v>
      </c>
      <c r="O4" s="2">
        <f>N4</f>
        <v>114000</v>
      </c>
      <c r="P4" s="14" t="s">
        <v>20</v>
      </c>
      <c r="Q4" s="1"/>
      <c r="R4" s="8" t="s">
        <v>18</v>
      </c>
      <c r="S4" s="14" t="s">
        <v>19</v>
      </c>
      <c r="T4" s="13">
        <v>12500.0</v>
      </c>
      <c r="U4" s="2">
        <f t="shared" ref="U4:U6" si="2">T4*12</f>
        <v>150000</v>
      </c>
      <c r="V4" s="2">
        <f>U4</f>
        <v>150000</v>
      </c>
      <c r="W4" s="14" t="s">
        <v>20</v>
      </c>
      <c r="X4" s="1"/>
      <c r="Y4" s="1"/>
      <c r="Z4" s="1"/>
      <c r="AA4" s="1"/>
      <c r="AB4" s="1"/>
    </row>
    <row r="5">
      <c r="A5" s="1"/>
      <c r="B5" s="15"/>
      <c r="C5" s="14" t="s">
        <v>21</v>
      </c>
      <c r="D5" s="14" t="s">
        <v>22</v>
      </c>
      <c r="E5" s="16">
        <v>12500.0</v>
      </c>
      <c r="G5" s="2"/>
      <c r="H5" s="2"/>
      <c r="I5" s="1"/>
      <c r="J5" s="1"/>
      <c r="L5" s="14" t="s">
        <v>23</v>
      </c>
      <c r="M5" s="2">
        <f>(M4*0.85)</f>
        <v>8075</v>
      </c>
      <c r="N5" s="2">
        <f t="shared" si="1"/>
        <v>96900</v>
      </c>
      <c r="O5" s="2">
        <f>N5*3</f>
        <v>290700</v>
      </c>
      <c r="P5" s="14" t="s">
        <v>24</v>
      </c>
      <c r="Q5" s="1"/>
      <c r="S5" s="14" t="s">
        <v>23</v>
      </c>
      <c r="T5" s="2">
        <f>(T4*0.85)</f>
        <v>10625</v>
      </c>
      <c r="U5" s="2">
        <f t="shared" si="2"/>
        <v>127500</v>
      </c>
      <c r="V5" s="2">
        <f>U5*3</f>
        <v>382500</v>
      </c>
      <c r="W5" s="14" t="s">
        <v>24</v>
      </c>
      <c r="X5" s="1"/>
      <c r="Y5" s="1"/>
      <c r="Z5" s="1"/>
      <c r="AA5" s="1"/>
      <c r="AB5" s="1"/>
    </row>
    <row r="6">
      <c r="A6" s="1"/>
      <c r="B6" s="15"/>
      <c r="C6" s="14" t="s">
        <v>25</v>
      </c>
      <c r="D6" s="14" t="s">
        <v>26</v>
      </c>
      <c r="E6" s="16">
        <v>2000.0</v>
      </c>
      <c r="G6" s="2"/>
      <c r="H6" s="2"/>
      <c r="I6" s="1"/>
      <c r="J6" s="1"/>
      <c r="L6" s="14" t="s">
        <v>27</v>
      </c>
      <c r="M6" s="2">
        <f>(M4*0.7)</f>
        <v>6650</v>
      </c>
      <c r="N6" s="2">
        <f t="shared" si="1"/>
        <v>79800</v>
      </c>
      <c r="O6" s="2">
        <f>N6*5</f>
        <v>399000</v>
      </c>
      <c r="P6" s="14" t="s">
        <v>28</v>
      </c>
      <c r="Q6" s="1"/>
      <c r="S6" s="14" t="s">
        <v>27</v>
      </c>
      <c r="T6" s="2">
        <f>(T4*0.7)</f>
        <v>8750</v>
      </c>
      <c r="U6" s="2">
        <f t="shared" si="2"/>
        <v>105000</v>
      </c>
      <c r="V6" s="2">
        <f>U6*5</f>
        <v>525000</v>
      </c>
      <c r="W6" s="14" t="s">
        <v>28</v>
      </c>
      <c r="X6" s="1"/>
      <c r="Y6" s="1"/>
      <c r="Z6" s="1"/>
      <c r="AA6" s="1"/>
      <c r="AB6" s="1"/>
    </row>
    <row r="7">
      <c r="A7" s="1"/>
      <c r="B7" s="15"/>
      <c r="C7" s="8" t="s">
        <v>29</v>
      </c>
      <c r="D7" s="14"/>
      <c r="E7" s="16"/>
      <c r="G7" s="2"/>
      <c r="H7" s="2"/>
      <c r="I7" s="1"/>
      <c r="J7" s="1"/>
      <c r="K7" s="1"/>
      <c r="L7" s="1"/>
      <c r="M7" s="1"/>
      <c r="N7" s="1"/>
      <c r="O7" s="1" t="str">
        <f>N7</f>
        <v/>
      </c>
      <c r="P7" s="1"/>
      <c r="Q7" s="1"/>
      <c r="R7" s="1"/>
      <c r="S7" s="1"/>
      <c r="T7" s="1"/>
      <c r="U7" s="1"/>
      <c r="V7" s="1" t="str">
        <f>U7</f>
        <v/>
      </c>
      <c r="W7" s="1"/>
      <c r="X7" s="1"/>
      <c r="Y7" s="1"/>
      <c r="Z7" s="1"/>
      <c r="AA7" s="1"/>
      <c r="AB7" s="1"/>
    </row>
    <row r="8">
      <c r="A8" s="1"/>
      <c r="B8" s="15"/>
      <c r="C8" s="14" t="s">
        <v>30</v>
      </c>
      <c r="D8" s="14" t="s">
        <v>22</v>
      </c>
      <c r="E8" s="16">
        <f>50000</f>
        <v>50000</v>
      </c>
      <c r="G8" s="2"/>
      <c r="H8" s="2"/>
      <c r="I8" s="1"/>
      <c r="J8" s="1"/>
      <c r="K8" s="8" t="s">
        <v>31</v>
      </c>
      <c r="L8" s="14" t="s">
        <v>19</v>
      </c>
      <c r="M8" s="1"/>
      <c r="N8" s="1"/>
      <c r="O8" s="1"/>
      <c r="P8" s="14" t="s">
        <v>20</v>
      </c>
      <c r="Q8" s="1"/>
      <c r="R8" s="8" t="s">
        <v>31</v>
      </c>
      <c r="S8" s="14" t="s">
        <v>19</v>
      </c>
      <c r="T8" s="1"/>
      <c r="U8" s="1"/>
      <c r="V8" s="1"/>
      <c r="W8" s="14" t="s">
        <v>20</v>
      </c>
      <c r="X8" s="1"/>
      <c r="Y8" s="1"/>
      <c r="Z8" s="1"/>
      <c r="AA8" s="1"/>
      <c r="AB8" s="1"/>
    </row>
    <row r="9">
      <c r="A9" s="1"/>
      <c r="B9" s="17"/>
      <c r="C9" s="18" t="s">
        <v>32</v>
      </c>
      <c r="D9" s="18" t="s">
        <v>22</v>
      </c>
      <c r="E9" s="19">
        <f>40000</f>
        <v>40000</v>
      </c>
      <c r="G9" s="2"/>
      <c r="H9" s="2"/>
      <c r="I9" s="1"/>
      <c r="J9" s="1"/>
      <c r="L9" s="14" t="s">
        <v>23</v>
      </c>
      <c r="M9" s="1"/>
      <c r="N9" s="1"/>
      <c r="O9" s="1"/>
      <c r="P9" s="14" t="s">
        <v>24</v>
      </c>
      <c r="Q9" s="1"/>
      <c r="S9" s="14" t="s">
        <v>23</v>
      </c>
      <c r="T9" s="1"/>
      <c r="U9" s="1"/>
      <c r="V9" s="1"/>
      <c r="W9" s="14" t="s">
        <v>24</v>
      </c>
      <c r="X9" s="1"/>
      <c r="Y9" s="1"/>
      <c r="Z9" s="1"/>
      <c r="AA9" s="1"/>
      <c r="AB9" s="1"/>
    </row>
    <row r="10">
      <c r="A10" s="1"/>
      <c r="B10" s="20" t="s">
        <v>33</v>
      </c>
      <c r="C10" s="10" t="s">
        <v>16</v>
      </c>
      <c r="D10" s="11"/>
      <c r="E10" s="12"/>
      <c r="F10" s="2">
        <f>sum(G10+H10)</f>
        <v>114000</v>
      </c>
      <c r="G10" s="2">
        <v>114000.0</v>
      </c>
      <c r="H10" s="2"/>
      <c r="I10" s="1"/>
      <c r="J10" s="1"/>
      <c r="L10" s="14" t="s">
        <v>27</v>
      </c>
      <c r="M10" s="1"/>
      <c r="N10" s="1"/>
      <c r="O10" s="1"/>
      <c r="P10" s="14" t="s">
        <v>28</v>
      </c>
      <c r="Q10" s="1"/>
      <c r="S10" s="14" t="s">
        <v>27</v>
      </c>
      <c r="T10" s="1"/>
      <c r="U10" s="1"/>
      <c r="V10" s="1"/>
      <c r="W10" s="14" t="s">
        <v>28</v>
      </c>
      <c r="X10" s="1"/>
      <c r="Y10" s="1"/>
      <c r="Z10" s="1"/>
      <c r="AA10" s="1"/>
      <c r="AB10" s="1"/>
    </row>
    <row r="11">
      <c r="A11" s="1"/>
      <c r="B11" s="15"/>
      <c r="C11" s="14" t="s">
        <v>21</v>
      </c>
      <c r="D11" s="14" t="s">
        <v>22</v>
      </c>
      <c r="E11" s="16">
        <v>12500.0</v>
      </c>
      <c r="H11" s="2"/>
      <c r="I11" s="1"/>
      <c r="J11" s="1"/>
      <c r="K11" s="8"/>
      <c r="L11" s="1"/>
      <c r="M11" s="1"/>
      <c r="N11" s="1"/>
      <c r="O11" s="1"/>
      <c r="P11" s="1"/>
      <c r="Q11" s="1"/>
      <c r="R11" s="8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"/>
      <c r="B12" s="15"/>
      <c r="C12" s="14" t="s">
        <v>25</v>
      </c>
      <c r="D12" s="14"/>
      <c r="E12" s="16"/>
      <c r="H12" s="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"/>
      <c r="B13" s="15"/>
      <c r="C13" s="8" t="s">
        <v>29</v>
      </c>
      <c r="D13" s="14" t="s">
        <v>22</v>
      </c>
      <c r="E13" s="16">
        <f>sum(24000+60000)</f>
        <v>84000</v>
      </c>
      <c r="H13" s="2"/>
      <c r="I13" s="1"/>
      <c r="J13" s="1"/>
      <c r="K13" s="8" t="s">
        <v>34</v>
      </c>
      <c r="L13" s="1"/>
      <c r="M13" s="8" t="s">
        <v>35</v>
      </c>
      <c r="Q13" s="1"/>
      <c r="R13" s="8" t="s">
        <v>34</v>
      </c>
      <c r="S13" s="1"/>
      <c r="T13" s="8" t="s">
        <v>35</v>
      </c>
      <c r="X13" s="1"/>
      <c r="Y13" s="1"/>
      <c r="Z13" s="1"/>
      <c r="AA13" s="1"/>
      <c r="AB13" s="1"/>
    </row>
    <row r="14">
      <c r="A14" s="1"/>
      <c r="B14" s="15"/>
      <c r="C14" s="14" t="s">
        <v>30</v>
      </c>
      <c r="D14" s="14" t="s">
        <v>22</v>
      </c>
      <c r="E14" s="16">
        <f>50000</f>
        <v>50000</v>
      </c>
      <c r="H14" s="2"/>
      <c r="I14" s="1"/>
      <c r="J14" s="1"/>
      <c r="L14" s="1"/>
      <c r="Q14" s="1"/>
      <c r="S14" s="1"/>
      <c r="X14" s="1"/>
      <c r="Y14" s="1"/>
      <c r="Z14" s="1"/>
      <c r="AA14" s="1"/>
      <c r="AB14" s="1"/>
    </row>
    <row r="15">
      <c r="A15" s="1"/>
      <c r="B15" s="15"/>
      <c r="C15" s="14" t="s">
        <v>32</v>
      </c>
      <c r="D15" s="14" t="s">
        <v>22</v>
      </c>
      <c r="E15" s="16">
        <f>40000</f>
        <v>40000</v>
      </c>
      <c r="H15" s="2"/>
      <c r="I15" s="1"/>
      <c r="J15" s="1"/>
      <c r="L15" s="14" t="s">
        <v>19</v>
      </c>
      <c r="Q15" s="1"/>
      <c r="S15" s="14" t="s">
        <v>19</v>
      </c>
      <c r="X15" s="1"/>
      <c r="Y15" s="1"/>
      <c r="Z15" s="1"/>
      <c r="AA15" s="1"/>
      <c r="AB15" s="1"/>
    </row>
    <row r="16">
      <c r="A16" s="1"/>
      <c r="B16" s="9" t="s">
        <v>36</v>
      </c>
      <c r="C16" s="10" t="s">
        <v>16</v>
      </c>
      <c r="D16" s="11"/>
      <c r="E16" s="12"/>
      <c r="F16" s="2">
        <f>sum(G16+H16)</f>
        <v>246900</v>
      </c>
      <c r="G16" s="2">
        <v>96900.0</v>
      </c>
      <c r="H16" s="2">
        <v>150000.0</v>
      </c>
      <c r="I16" s="1"/>
      <c r="J16" s="1"/>
      <c r="L16" s="14" t="s">
        <v>23</v>
      </c>
      <c r="Q16" s="1"/>
      <c r="S16" s="14" t="s">
        <v>23</v>
      </c>
      <c r="X16" s="1"/>
      <c r="Y16" s="1"/>
      <c r="Z16" s="1"/>
      <c r="AA16" s="1"/>
      <c r="AB16" s="1"/>
    </row>
    <row r="17">
      <c r="A17" s="1"/>
      <c r="B17" s="15"/>
      <c r="C17" s="14" t="s">
        <v>21</v>
      </c>
      <c r="D17" s="14" t="s">
        <v>22</v>
      </c>
      <c r="E17" s="16">
        <v>17500.0</v>
      </c>
      <c r="I17" s="1"/>
      <c r="J17" s="1"/>
      <c r="L17" s="14" t="s">
        <v>27</v>
      </c>
      <c r="Q17" s="1"/>
      <c r="S17" s="14" t="s">
        <v>27</v>
      </c>
      <c r="X17" s="1"/>
      <c r="Y17" s="1"/>
      <c r="Z17" s="1"/>
      <c r="AA17" s="1"/>
      <c r="AB17" s="1"/>
    </row>
    <row r="18">
      <c r="A18" s="1"/>
      <c r="B18" s="15"/>
      <c r="C18" s="14" t="s">
        <v>25</v>
      </c>
      <c r="D18" s="14"/>
      <c r="E18" s="16"/>
      <c r="I18" s="1"/>
      <c r="J18" s="1"/>
      <c r="L18" s="1"/>
      <c r="Q18" s="1"/>
      <c r="S18" s="1"/>
      <c r="X18" s="1"/>
      <c r="Y18" s="1"/>
      <c r="Z18" s="1"/>
      <c r="AA18" s="1"/>
      <c r="AB18" s="1"/>
    </row>
    <row r="19">
      <c r="A19" s="1"/>
      <c r="B19" s="15"/>
      <c r="C19" s="8" t="s">
        <v>29</v>
      </c>
      <c r="D19" s="14" t="s">
        <v>22</v>
      </c>
      <c r="E19" s="16">
        <f>sum(24000+60000)</f>
        <v>84000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"/>
      <c r="B20" s="15"/>
      <c r="C20" s="14" t="s">
        <v>30</v>
      </c>
      <c r="D20" s="14" t="s">
        <v>22</v>
      </c>
      <c r="E20" s="16">
        <f>50000</f>
        <v>50000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"/>
      <c r="B21" s="17"/>
      <c r="C21" s="18" t="s">
        <v>32</v>
      </c>
      <c r="D21" s="18" t="s">
        <v>22</v>
      </c>
      <c r="E21" s="19">
        <f>40000</f>
        <v>40000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"/>
      <c r="B22" s="21" t="s">
        <v>37</v>
      </c>
      <c r="C22" s="8" t="s">
        <v>16</v>
      </c>
      <c r="D22" s="14"/>
      <c r="E22" s="16"/>
      <c r="F22" s="2">
        <f>sum(G22+H22)</f>
        <v>224400</v>
      </c>
      <c r="G22" s="2">
        <v>96900.0</v>
      </c>
      <c r="H22" s="2">
        <v>127500.0</v>
      </c>
      <c r="K22" s="1"/>
      <c r="L22" s="14"/>
      <c r="M22" s="1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"/>
      <c r="B23" s="15"/>
      <c r="C23" s="14" t="s">
        <v>21</v>
      </c>
      <c r="D23" s="14" t="s">
        <v>22</v>
      </c>
      <c r="E23" s="16">
        <v>17500.0</v>
      </c>
      <c r="K23" s="14"/>
      <c r="L23" s="13"/>
      <c r="M23" s="2"/>
      <c r="N23" s="14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"/>
      <c r="B24" s="15"/>
      <c r="C24" s="14" t="s">
        <v>25</v>
      </c>
      <c r="D24" s="14"/>
      <c r="E24" s="16"/>
      <c r="K24" s="14"/>
      <c r="L24" s="2"/>
      <c r="M24" s="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"/>
      <c r="B25" s="15"/>
      <c r="C25" s="8" t="s">
        <v>29</v>
      </c>
      <c r="D25" s="14"/>
      <c r="E25" s="16"/>
      <c r="K25" s="14"/>
      <c r="L25" s="2"/>
      <c r="M25" s="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"/>
      <c r="B26" s="15"/>
      <c r="C26" s="14" t="s">
        <v>30</v>
      </c>
      <c r="D26" s="14" t="s">
        <v>22</v>
      </c>
      <c r="E26" s="16">
        <f>50000</f>
        <v>50000</v>
      </c>
      <c r="K26" s="14"/>
      <c r="L26" s="2"/>
      <c r="M26" s="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"/>
      <c r="B27" s="17"/>
      <c r="C27" s="18" t="s">
        <v>32</v>
      </c>
      <c r="D27" s="18" t="s">
        <v>22</v>
      </c>
      <c r="E27" s="19">
        <f>40000</f>
        <v>40000</v>
      </c>
      <c r="K27" s="14"/>
      <c r="L27" s="2"/>
      <c r="M27" s="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22" t="s">
        <v>38</v>
      </c>
      <c r="C28" s="8" t="s">
        <v>16</v>
      </c>
      <c r="D28" s="14"/>
      <c r="E28" s="16"/>
      <c r="F28" s="2">
        <f>sum(G28+H28)</f>
        <v>224400</v>
      </c>
      <c r="G28" s="2">
        <v>96900.0</v>
      </c>
      <c r="H28" s="2">
        <v>127500.0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15"/>
      <c r="C29" s="14" t="s">
        <v>21</v>
      </c>
      <c r="D29" s="14" t="s">
        <v>22</v>
      </c>
      <c r="E29" s="16">
        <v>17500.0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15"/>
      <c r="C30" s="14" t="s">
        <v>25</v>
      </c>
      <c r="D30" s="14"/>
      <c r="E30" s="1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/>
      <c r="B31" s="15"/>
      <c r="C31" s="8" t="s">
        <v>29</v>
      </c>
      <c r="D31" s="14"/>
      <c r="E31" s="16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15"/>
      <c r="C32" s="14" t="s">
        <v>30</v>
      </c>
      <c r="D32" s="14" t="s">
        <v>22</v>
      </c>
      <c r="E32" s="16">
        <f>50000</f>
        <v>50000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/>
      <c r="B33" s="17"/>
      <c r="C33" s="18" t="s">
        <v>32</v>
      </c>
      <c r="D33" s="18" t="s">
        <v>22</v>
      </c>
      <c r="E33" s="19">
        <f>40000</f>
        <v>40000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1"/>
      <c r="C34" s="1"/>
      <c r="D34" s="1"/>
      <c r="E34" s="2"/>
      <c r="F34" s="2"/>
      <c r="G34" s="2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23" t="s">
        <v>39</v>
      </c>
      <c r="C35" s="24"/>
      <c r="D35" s="25"/>
      <c r="E35" s="26">
        <f>SUM(E4:E33)</f>
        <v>707500</v>
      </c>
      <c r="F35" s="27">
        <f>sum(F4:F33)</f>
        <v>809700</v>
      </c>
      <c r="G35" s="24"/>
      <c r="H35" s="25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1"/>
      <c r="C36" s="1"/>
      <c r="D36" s="1"/>
      <c r="E36" s="2"/>
      <c r="F36" s="2"/>
      <c r="G36" s="2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1"/>
      <c r="C37" s="1"/>
      <c r="D37" s="28" t="s">
        <v>40</v>
      </c>
      <c r="E37" s="29">
        <f>F35-E35</f>
        <v>102200</v>
      </c>
      <c r="F37" s="24"/>
      <c r="G37" s="24"/>
      <c r="H37" s="25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/>
      <c r="B38" s="1"/>
      <c r="C38" s="1"/>
      <c r="D38" s="1"/>
      <c r="E38" s="2"/>
      <c r="F38" s="2"/>
      <c r="G38" s="2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/>
      <c r="B39" s="1"/>
      <c r="C39" s="1"/>
      <c r="D39" s="1"/>
      <c r="E39" s="2"/>
      <c r="F39" s="2"/>
      <c r="G39" s="2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"/>
      <c r="C40" s="1"/>
      <c r="D40" s="1"/>
      <c r="E40" s="2"/>
      <c r="F40" s="2"/>
      <c r="G40" s="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1"/>
      <c r="C41" s="1"/>
      <c r="D41" s="3" t="s">
        <v>41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1"/>
      <c r="C42" s="1"/>
      <c r="D42" s="30" t="s">
        <v>42</v>
      </c>
      <c r="E42" s="31" t="s">
        <v>43</v>
      </c>
      <c r="F42" s="31" t="s">
        <v>44</v>
      </c>
      <c r="G42" s="31" t="s">
        <v>45</v>
      </c>
      <c r="H42" s="31" t="s">
        <v>46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1"/>
      <c r="C43" s="1"/>
      <c r="D43" s="14" t="s">
        <v>47</v>
      </c>
      <c r="E43" s="13">
        <v>0.0</v>
      </c>
      <c r="F43" s="13">
        <v>0.0</v>
      </c>
      <c r="G43" s="2">
        <f t="shared" ref="G43:G48" si="3">F43-E43</f>
        <v>0</v>
      </c>
      <c r="H43" s="13">
        <v>0.0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1"/>
      <c r="C44" s="1"/>
      <c r="D44" s="14" t="s">
        <v>15</v>
      </c>
      <c r="E44" s="2">
        <f>sum(E4:E9)</f>
        <v>114500</v>
      </c>
      <c r="F44" s="2">
        <f>F4</f>
        <v>0</v>
      </c>
      <c r="G44" s="2">
        <f t="shared" si="3"/>
        <v>-114500</v>
      </c>
      <c r="H44" s="2">
        <f>F44-E44</f>
        <v>-114500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1"/>
      <c r="C45" s="1"/>
      <c r="D45" s="14" t="s">
        <v>33</v>
      </c>
      <c r="E45" s="2">
        <f>sum(E10:E15)</f>
        <v>186500</v>
      </c>
      <c r="F45" s="2">
        <f>F10</f>
        <v>114000</v>
      </c>
      <c r="G45" s="2">
        <f t="shared" si="3"/>
        <v>-72500</v>
      </c>
      <c r="H45" s="2">
        <f t="shared" ref="H45:H48" si="4">(F45-E45)+H44</f>
        <v>-187000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1"/>
      <c r="C46" s="1"/>
      <c r="D46" s="14" t="s">
        <v>36</v>
      </c>
      <c r="E46" s="2">
        <f>sum(E16:E21)</f>
        <v>191500</v>
      </c>
      <c r="F46" s="2">
        <f>sum(F16)</f>
        <v>246900</v>
      </c>
      <c r="G46" s="2">
        <f t="shared" si="3"/>
        <v>55400</v>
      </c>
      <c r="H46" s="2">
        <f t="shared" si="4"/>
        <v>-131600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1"/>
      <c r="C47" s="1"/>
      <c r="D47" s="14" t="s">
        <v>37</v>
      </c>
      <c r="E47" s="2">
        <f>sum(E22:E27)</f>
        <v>107500</v>
      </c>
      <c r="F47" s="2">
        <f>F22</f>
        <v>224400</v>
      </c>
      <c r="G47" s="2">
        <f t="shared" si="3"/>
        <v>116900</v>
      </c>
      <c r="H47" s="2">
        <f t="shared" si="4"/>
        <v>-14700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1"/>
      <c r="C48" s="1"/>
      <c r="D48" s="14" t="s">
        <v>38</v>
      </c>
      <c r="E48" s="2">
        <f>sum(E28:E33)</f>
        <v>107500</v>
      </c>
      <c r="F48" s="2">
        <f>F28</f>
        <v>224400</v>
      </c>
      <c r="G48" s="2">
        <f t="shared" si="3"/>
        <v>116900</v>
      </c>
      <c r="H48" s="2">
        <f t="shared" si="4"/>
        <v>102200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1"/>
      <c r="C49" s="1"/>
      <c r="D49" s="1"/>
      <c r="E49" s="2"/>
      <c r="F49" s="2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1"/>
      <c r="C50" s="1"/>
      <c r="D50" s="1"/>
      <c r="E50" s="2"/>
      <c r="F50" s="2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1"/>
      <c r="C51" s="1"/>
      <c r="D51" s="1"/>
      <c r="E51" s="2"/>
      <c r="F51" s="2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1"/>
      <c r="D52" s="1"/>
      <c r="E52" s="2"/>
      <c r="F52" s="2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"/>
      <c r="C53" s="1"/>
      <c r="D53" s="1"/>
      <c r="E53" s="2"/>
      <c r="F53" s="2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1"/>
      <c r="C54" s="1"/>
      <c r="D54" s="1"/>
      <c r="E54" s="2"/>
      <c r="F54" s="2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1"/>
      <c r="C55" s="1"/>
      <c r="D55" s="1"/>
      <c r="E55" s="2"/>
      <c r="F55" s="2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1"/>
      <c r="C56" s="1"/>
      <c r="D56" s="1"/>
      <c r="E56" s="2"/>
      <c r="F56" s="2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1"/>
      <c r="C57" s="1"/>
      <c r="D57" s="1"/>
      <c r="E57" s="2"/>
      <c r="F57" s="2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"/>
      <c r="C58" s="1"/>
      <c r="D58" s="1"/>
      <c r="E58" s="2"/>
      <c r="F58" s="2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"/>
      <c r="C59" s="1"/>
      <c r="D59" s="1"/>
      <c r="E59" s="2"/>
      <c r="F59" s="2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"/>
      <c r="C60" s="1"/>
      <c r="D60" s="1"/>
      <c r="E60" s="2"/>
      <c r="F60" s="2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"/>
      <c r="C61" s="1"/>
      <c r="D61" s="1"/>
      <c r="E61" s="2"/>
      <c r="F61" s="2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"/>
      <c r="C62" s="1"/>
      <c r="D62" s="1"/>
      <c r="E62" s="2"/>
      <c r="F62" s="2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"/>
      <c r="C63" s="1"/>
      <c r="D63" s="1"/>
      <c r="E63" s="2"/>
      <c r="F63" s="2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2"/>
      <c r="F64" s="2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"/>
      <c r="C65" s="1"/>
      <c r="D65" s="1"/>
      <c r="E65" s="2"/>
      <c r="F65" s="2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"/>
      <c r="C66" s="1"/>
      <c r="D66" s="1"/>
      <c r="E66" s="2"/>
      <c r="F66" s="2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"/>
      <c r="C67" s="1"/>
      <c r="D67" s="1"/>
      <c r="E67" s="2"/>
      <c r="F67" s="2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"/>
      <c r="C68" s="1"/>
      <c r="D68" s="1"/>
      <c r="E68" s="2"/>
      <c r="F68" s="2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"/>
      <c r="C69" s="1"/>
      <c r="D69" s="1"/>
      <c r="E69" s="2"/>
      <c r="F69" s="2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1"/>
      <c r="D70" s="1"/>
      <c r="E70" s="2"/>
      <c r="F70" s="2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1"/>
      <c r="D71" s="1"/>
      <c r="E71" s="2"/>
      <c r="F71" s="2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1"/>
      <c r="D72" s="1"/>
      <c r="E72" s="2"/>
      <c r="F72" s="2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"/>
      <c r="C73" s="1"/>
      <c r="D73" s="1"/>
      <c r="E73" s="2"/>
      <c r="F73" s="2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"/>
      <c r="C74" s="1"/>
      <c r="D74" s="1"/>
      <c r="E74" s="2"/>
      <c r="F74" s="2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"/>
      <c r="C75" s="1"/>
      <c r="D75" s="1"/>
      <c r="E75" s="2"/>
      <c r="F75" s="2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2"/>
      <c r="F76" s="2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2"/>
      <c r="F77" s="2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2"/>
      <c r="F78" s="2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2"/>
      <c r="F79" s="2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"/>
      <c r="C80" s="1"/>
      <c r="D80" s="1"/>
      <c r="E80" s="2"/>
      <c r="F80" s="2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"/>
      <c r="C81" s="1"/>
      <c r="D81" s="1"/>
      <c r="E81" s="2"/>
      <c r="F81" s="2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"/>
      <c r="C82" s="1"/>
      <c r="D82" s="1"/>
      <c r="E82" s="2"/>
      <c r="F82" s="2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"/>
      <c r="C83" s="1"/>
      <c r="D83" s="1"/>
      <c r="E83" s="2"/>
      <c r="F83" s="2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1"/>
      <c r="D84" s="1"/>
      <c r="E84" s="2"/>
      <c r="F84" s="2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1"/>
      <c r="D85" s="1"/>
      <c r="E85" s="2"/>
      <c r="F85" s="2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"/>
      <c r="C86" s="1"/>
      <c r="D86" s="1"/>
      <c r="E86" s="2"/>
      <c r="F86" s="2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"/>
      <c r="C87" s="1"/>
      <c r="D87" s="1"/>
      <c r="E87" s="2"/>
      <c r="F87" s="2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"/>
      <c r="C88" s="1"/>
      <c r="D88" s="1"/>
      <c r="E88" s="2"/>
      <c r="F88" s="2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"/>
      <c r="C89" s="1"/>
      <c r="D89" s="1"/>
      <c r="E89" s="2"/>
      <c r="F89" s="2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1"/>
      <c r="D90" s="1"/>
      <c r="E90" s="2"/>
      <c r="F90" s="2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"/>
      <c r="C91" s="1"/>
      <c r="D91" s="1"/>
      <c r="E91" s="2"/>
      <c r="F91" s="2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1"/>
      <c r="D92" s="1"/>
      <c r="E92" s="2"/>
      <c r="F92" s="2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1"/>
      <c r="D93" s="1"/>
      <c r="E93" s="2"/>
      <c r="F93" s="2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1"/>
      <c r="D94" s="1"/>
      <c r="E94" s="2"/>
      <c r="F94" s="2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1"/>
      <c r="D95" s="1"/>
      <c r="E95" s="2"/>
      <c r="F95" s="2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/>
      <c r="E96" s="2"/>
      <c r="F96" s="2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/>
      <c r="E97" s="2"/>
      <c r="F97" s="2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/>
      <c r="E98" s="2"/>
      <c r="F98" s="2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2"/>
      <c r="F99" s="2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2"/>
      <c r="F100" s="2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2"/>
      <c r="F101" s="2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2"/>
      <c r="F102" s="2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2"/>
      <c r="F103" s="2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2"/>
      <c r="F104" s="2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2"/>
      <c r="F105" s="2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2"/>
      <c r="F106" s="2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2"/>
      <c r="F107" s="2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2"/>
      <c r="F108" s="2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2"/>
      <c r="F109" s="2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2"/>
      <c r="F110" s="2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2"/>
      <c r="F111" s="2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2"/>
      <c r="F112" s="2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2"/>
      <c r="F113" s="2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2"/>
      <c r="F114" s="2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2"/>
      <c r="F115" s="2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2"/>
      <c r="F116" s="2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2"/>
      <c r="F117" s="2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2"/>
      <c r="F118" s="2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2"/>
      <c r="F119" s="2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2"/>
      <c r="F120" s="2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2"/>
      <c r="F121" s="2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2"/>
      <c r="F122" s="2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2"/>
      <c r="F123" s="2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2"/>
      <c r="F124" s="2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2"/>
      <c r="F125" s="2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2"/>
      <c r="F126" s="2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2"/>
      <c r="F127" s="2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2"/>
      <c r="F128" s="2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2"/>
      <c r="F129" s="2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2"/>
      <c r="F130" s="2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2"/>
      <c r="F131" s="2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2"/>
      <c r="F132" s="2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2"/>
      <c r="F133" s="2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2"/>
      <c r="F134" s="2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2"/>
      <c r="F135" s="2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2"/>
      <c r="F136" s="2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2"/>
      <c r="F137" s="2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2"/>
      <c r="F138" s="2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2"/>
      <c r="F139" s="2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2"/>
      <c r="F140" s="2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2"/>
      <c r="F141" s="2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2"/>
      <c r="F142" s="2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2"/>
      <c r="F143" s="2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2"/>
      <c r="F144" s="2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2"/>
      <c r="F145" s="2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2"/>
      <c r="F146" s="2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2"/>
      <c r="F147" s="2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2"/>
      <c r="F148" s="2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2"/>
      <c r="F149" s="2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2"/>
      <c r="F150" s="2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2"/>
      <c r="F151" s="2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2"/>
      <c r="F152" s="2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2"/>
      <c r="F153" s="2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2"/>
      <c r="F154" s="2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2"/>
      <c r="F155" s="2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2"/>
      <c r="F156" s="2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2"/>
      <c r="F157" s="2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2"/>
      <c r="F158" s="2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2"/>
      <c r="F159" s="2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2"/>
      <c r="F160" s="2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2"/>
      <c r="F161" s="2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2"/>
      <c r="F162" s="2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2"/>
      <c r="F163" s="2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2"/>
      <c r="F164" s="2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2"/>
      <c r="F165" s="2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2"/>
      <c r="F166" s="2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2"/>
      <c r="F167" s="2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2"/>
      <c r="F168" s="2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2"/>
      <c r="F169" s="2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2"/>
      <c r="F170" s="2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2"/>
      <c r="F171" s="2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2"/>
      <c r="F172" s="2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2"/>
      <c r="F173" s="2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2"/>
      <c r="F174" s="2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2"/>
      <c r="F175" s="2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2"/>
      <c r="F176" s="2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2"/>
      <c r="F177" s="2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2"/>
      <c r="F178" s="2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2"/>
      <c r="F179" s="2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2"/>
      <c r="F180" s="2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2"/>
      <c r="F181" s="2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2"/>
      <c r="F182" s="2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2"/>
      <c r="F183" s="2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2"/>
      <c r="F184" s="2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2"/>
      <c r="F185" s="2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2"/>
      <c r="F186" s="2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2"/>
      <c r="F187" s="2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2"/>
      <c r="F188" s="2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2"/>
      <c r="F189" s="2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2"/>
      <c r="F190" s="2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2"/>
      <c r="F191" s="2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2"/>
      <c r="F192" s="2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2"/>
      <c r="F193" s="2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2"/>
      <c r="F194" s="2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2"/>
      <c r="F195" s="2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2"/>
      <c r="F196" s="2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2"/>
      <c r="F197" s="2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2"/>
      <c r="F198" s="2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2"/>
      <c r="F199" s="2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2"/>
      <c r="F200" s="2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2"/>
      <c r="F201" s="2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2"/>
      <c r="F202" s="2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2"/>
      <c r="F203" s="2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2"/>
      <c r="F204" s="2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2"/>
      <c r="F205" s="2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2"/>
      <c r="F206" s="2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2"/>
      <c r="F207" s="2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2"/>
      <c r="F208" s="2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2"/>
      <c r="F209" s="2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2"/>
      <c r="F210" s="2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2"/>
      <c r="F211" s="2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2"/>
      <c r="F212" s="2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2"/>
      <c r="F213" s="2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2"/>
      <c r="F214" s="2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2"/>
      <c r="F215" s="2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2"/>
      <c r="F216" s="2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2"/>
      <c r="F217" s="2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2"/>
      <c r="F218" s="2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2"/>
      <c r="F219" s="2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2"/>
      <c r="F220" s="2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2"/>
      <c r="F221" s="2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2"/>
      <c r="F222" s="2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2"/>
      <c r="F223" s="2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2"/>
      <c r="F224" s="2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2"/>
      <c r="F225" s="2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2"/>
      <c r="F226" s="2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2"/>
      <c r="F227" s="2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2"/>
      <c r="F228" s="2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2"/>
      <c r="F229" s="2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2"/>
      <c r="F230" s="2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2"/>
      <c r="F231" s="2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2"/>
      <c r="F232" s="2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2"/>
      <c r="F233" s="2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2"/>
      <c r="F234" s="2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2"/>
      <c r="F235" s="2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2"/>
      <c r="F236" s="2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2"/>
      <c r="F237" s="2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2"/>
      <c r="F238" s="2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2"/>
      <c r="F239" s="2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2"/>
      <c r="F240" s="2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2"/>
      <c r="F241" s="2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2"/>
      <c r="F242" s="2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2"/>
      <c r="F243" s="2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2"/>
      <c r="F244" s="2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2"/>
      <c r="F245" s="2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2"/>
      <c r="F246" s="2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2"/>
      <c r="F247" s="2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2"/>
      <c r="F248" s="2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2"/>
      <c r="F249" s="2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2"/>
      <c r="F250" s="2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2"/>
      <c r="F251" s="2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2"/>
      <c r="F252" s="2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2"/>
      <c r="F253" s="2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2"/>
      <c r="F254" s="2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2"/>
      <c r="F255" s="2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2"/>
      <c r="F256" s="2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2"/>
      <c r="F257" s="2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2"/>
      <c r="F258" s="2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2"/>
      <c r="F259" s="2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2"/>
      <c r="F260" s="2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2"/>
      <c r="F261" s="2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2"/>
      <c r="F262" s="2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2"/>
      <c r="F263" s="2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2"/>
      <c r="F264" s="2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2"/>
      <c r="F265" s="2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2"/>
      <c r="F266" s="2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2"/>
      <c r="F267" s="2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2"/>
      <c r="F268" s="2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2"/>
      <c r="F269" s="2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2"/>
      <c r="F270" s="2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2"/>
      <c r="F271" s="2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2"/>
      <c r="F272" s="2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2"/>
      <c r="F273" s="2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2"/>
      <c r="F274" s="2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2"/>
      <c r="F275" s="2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2"/>
      <c r="F276" s="2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2"/>
      <c r="F277" s="2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2"/>
      <c r="F278" s="2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2"/>
      <c r="F279" s="2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2"/>
      <c r="F280" s="2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2"/>
      <c r="F281" s="2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2"/>
      <c r="F282" s="2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2"/>
      <c r="F283" s="2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2"/>
      <c r="F284" s="2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2"/>
      <c r="F285" s="2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2"/>
      <c r="F286" s="2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2"/>
      <c r="F287" s="2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2"/>
      <c r="F288" s="2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2"/>
      <c r="F289" s="2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2"/>
      <c r="F290" s="2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2"/>
      <c r="F291" s="2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2"/>
      <c r="F292" s="2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2"/>
      <c r="F293" s="2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2"/>
      <c r="F294" s="2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2"/>
      <c r="F295" s="2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2"/>
      <c r="F296" s="2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2"/>
      <c r="F297" s="2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2"/>
      <c r="F298" s="2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2"/>
      <c r="F299" s="2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2"/>
      <c r="F300" s="2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2"/>
      <c r="F301" s="2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2"/>
      <c r="F302" s="2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2"/>
      <c r="F303" s="2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2"/>
      <c r="F304" s="2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2"/>
      <c r="F305" s="2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2"/>
      <c r="F306" s="2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2"/>
      <c r="F307" s="2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2"/>
      <c r="F308" s="2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2"/>
      <c r="F309" s="2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2"/>
      <c r="F310" s="2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2"/>
      <c r="F311" s="2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2"/>
      <c r="F312" s="2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2"/>
      <c r="F313" s="2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2"/>
      <c r="F314" s="2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2"/>
      <c r="F315" s="2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2"/>
      <c r="F316" s="2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2"/>
      <c r="F317" s="2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2"/>
      <c r="F318" s="2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2"/>
      <c r="F319" s="2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2"/>
      <c r="F320" s="2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2"/>
      <c r="F321" s="2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2"/>
      <c r="F322" s="2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2"/>
      <c r="F323" s="2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2"/>
      <c r="F324" s="2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2"/>
      <c r="F325" s="2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2"/>
      <c r="F326" s="2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2"/>
      <c r="F327" s="2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2"/>
      <c r="F328" s="2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2"/>
      <c r="F329" s="2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2"/>
      <c r="F330" s="2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2"/>
      <c r="F331" s="2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2"/>
      <c r="F332" s="2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2"/>
      <c r="F333" s="2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2"/>
      <c r="F334" s="2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2"/>
      <c r="F335" s="2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2"/>
      <c r="F336" s="2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2"/>
      <c r="F337" s="2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2"/>
      <c r="F338" s="2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2"/>
      <c r="F339" s="2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2"/>
      <c r="F340" s="2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2"/>
      <c r="F341" s="2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2"/>
      <c r="F342" s="2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2"/>
      <c r="F343" s="2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2"/>
      <c r="F344" s="2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2"/>
      <c r="F345" s="2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2"/>
      <c r="F346" s="2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2"/>
      <c r="F347" s="2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2"/>
      <c r="F348" s="2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2"/>
      <c r="F349" s="2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2"/>
      <c r="F350" s="2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2"/>
      <c r="F351" s="2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2"/>
      <c r="F352" s="2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2"/>
      <c r="F353" s="2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2"/>
      <c r="F354" s="2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2"/>
      <c r="F355" s="2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2"/>
      <c r="F356" s="2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2"/>
      <c r="F357" s="2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2"/>
      <c r="F358" s="2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2"/>
      <c r="F359" s="2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2"/>
      <c r="F360" s="2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2"/>
      <c r="F361" s="2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2"/>
      <c r="F362" s="2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2"/>
      <c r="F363" s="2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2"/>
      <c r="F364" s="2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2"/>
      <c r="F365" s="2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2"/>
      <c r="F366" s="2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2"/>
      <c r="F367" s="2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2"/>
      <c r="F368" s="2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2"/>
      <c r="F369" s="2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2"/>
      <c r="F370" s="2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2"/>
      <c r="F371" s="2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2"/>
      <c r="F372" s="2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2"/>
      <c r="F373" s="2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2"/>
      <c r="F374" s="2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2"/>
      <c r="F375" s="2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2"/>
      <c r="F376" s="2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2"/>
      <c r="F377" s="2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2"/>
      <c r="F378" s="2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2"/>
      <c r="F379" s="2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2"/>
      <c r="F380" s="2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2"/>
      <c r="F381" s="2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2"/>
      <c r="F382" s="2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2"/>
      <c r="F383" s="2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2"/>
      <c r="F384" s="2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2"/>
      <c r="F385" s="2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2"/>
      <c r="F386" s="2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2"/>
      <c r="F387" s="2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2"/>
      <c r="F388" s="2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2"/>
      <c r="F389" s="2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2"/>
      <c r="F390" s="2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2"/>
      <c r="F391" s="2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2"/>
      <c r="F392" s="2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2"/>
      <c r="F393" s="2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2"/>
      <c r="F394" s="2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2"/>
      <c r="F395" s="2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2"/>
      <c r="F396" s="2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2"/>
      <c r="F397" s="2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2"/>
      <c r="F398" s="2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2"/>
      <c r="F399" s="2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2"/>
      <c r="F400" s="2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2"/>
      <c r="F401" s="2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2"/>
      <c r="F402" s="2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2"/>
      <c r="F403" s="2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2"/>
      <c r="F404" s="2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2"/>
      <c r="F405" s="2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2"/>
      <c r="F406" s="2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2"/>
      <c r="F407" s="2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2"/>
      <c r="F408" s="2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2"/>
      <c r="F409" s="2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2"/>
      <c r="F410" s="2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2"/>
      <c r="F411" s="2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2"/>
      <c r="F412" s="2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2"/>
      <c r="F413" s="2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2"/>
      <c r="F414" s="2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2"/>
      <c r="F415" s="2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2"/>
      <c r="F416" s="2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2"/>
      <c r="F417" s="2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2"/>
      <c r="F418" s="2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2"/>
      <c r="F419" s="2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2"/>
      <c r="F420" s="2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2"/>
      <c r="F421" s="2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2"/>
      <c r="F422" s="2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2"/>
      <c r="F423" s="2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2"/>
      <c r="F424" s="2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2"/>
      <c r="F425" s="2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2"/>
      <c r="F426" s="2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2"/>
      <c r="F427" s="2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2"/>
      <c r="F428" s="2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2"/>
      <c r="F429" s="2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2"/>
      <c r="F430" s="2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2"/>
      <c r="F431" s="2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2"/>
      <c r="F432" s="2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2"/>
      <c r="F433" s="2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2"/>
      <c r="F434" s="2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2"/>
      <c r="F435" s="2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2"/>
      <c r="F436" s="2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2"/>
      <c r="F437" s="2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2"/>
      <c r="F438" s="2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2"/>
      <c r="F439" s="2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2"/>
      <c r="F440" s="2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2"/>
      <c r="F441" s="2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2"/>
      <c r="F442" s="2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2"/>
      <c r="F443" s="2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2"/>
      <c r="F444" s="2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2"/>
      <c r="F445" s="2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2"/>
      <c r="F446" s="2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2"/>
      <c r="F447" s="2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2"/>
      <c r="F448" s="2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2"/>
      <c r="F449" s="2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2"/>
      <c r="F450" s="2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2"/>
      <c r="F451" s="2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2"/>
      <c r="F452" s="2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2"/>
      <c r="F453" s="2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2"/>
      <c r="F454" s="2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2"/>
      <c r="F455" s="2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2"/>
      <c r="F456" s="2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2"/>
      <c r="F457" s="2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2"/>
      <c r="F458" s="2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2"/>
      <c r="F459" s="2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2"/>
      <c r="F460" s="2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2"/>
      <c r="F461" s="2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2"/>
      <c r="F462" s="2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2"/>
      <c r="F463" s="2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2"/>
      <c r="F464" s="2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2"/>
      <c r="F465" s="2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2"/>
      <c r="F466" s="2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2"/>
      <c r="F467" s="2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2"/>
      <c r="F468" s="2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2"/>
      <c r="F469" s="2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2"/>
      <c r="F470" s="2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2"/>
      <c r="F471" s="2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2"/>
      <c r="F472" s="2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2"/>
      <c r="F473" s="2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2"/>
      <c r="F474" s="2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2"/>
      <c r="F475" s="2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2"/>
      <c r="F476" s="2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2"/>
      <c r="F477" s="2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2"/>
      <c r="F478" s="2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2"/>
      <c r="F479" s="2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2"/>
      <c r="F480" s="2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2"/>
      <c r="F481" s="2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2"/>
      <c r="F482" s="2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2"/>
      <c r="F483" s="2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2"/>
      <c r="F484" s="2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2"/>
      <c r="F485" s="2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2"/>
      <c r="F486" s="2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2"/>
      <c r="F487" s="2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2"/>
      <c r="F488" s="2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2"/>
      <c r="F489" s="2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2"/>
      <c r="F490" s="2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2"/>
      <c r="F491" s="2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2"/>
      <c r="F492" s="2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2"/>
      <c r="F493" s="2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2"/>
      <c r="F494" s="2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2"/>
      <c r="F495" s="2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2"/>
      <c r="F496" s="2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2"/>
      <c r="F497" s="2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2"/>
      <c r="F498" s="2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2"/>
      <c r="F499" s="2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2"/>
      <c r="F500" s="2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2"/>
      <c r="F501" s="2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2"/>
      <c r="F502" s="2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2"/>
      <c r="F503" s="2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2"/>
      <c r="F504" s="2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2"/>
      <c r="F505" s="2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2"/>
      <c r="F506" s="2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2"/>
      <c r="F507" s="2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2"/>
      <c r="F508" s="2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2"/>
      <c r="F509" s="2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2"/>
      <c r="F510" s="2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2"/>
      <c r="F511" s="2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2"/>
      <c r="F512" s="2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2"/>
      <c r="F513" s="2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2"/>
      <c r="F514" s="2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2"/>
      <c r="F515" s="2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2"/>
      <c r="F516" s="2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2"/>
      <c r="F517" s="2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2"/>
      <c r="F518" s="2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2"/>
      <c r="F519" s="2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2"/>
      <c r="F520" s="2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2"/>
      <c r="F521" s="2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2"/>
      <c r="F522" s="2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2"/>
      <c r="F523" s="2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2"/>
      <c r="F524" s="2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2"/>
      <c r="F525" s="2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2"/>
      <c r="F526" s="2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2"/>
      <c r="F527" s="2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2"/>
      <c r="F528" s="2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2"/>
      <c r="F529" s="2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2"/>
      <c r="F530" s="2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2"/>
      <c r="F531" s="2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2"/>
      <c r="F532" s="2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2"/>
      <c r="F533" s="2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2"/>
      <c r="F534" s="2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2"/>
      <c r="F535" s="2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2"/>
      <c r="F536" s="2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2"/>
      <c r="F537" s="2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2"/>
      <c r="F538" s="2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2"/>
      <c r="F539" s="2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2"/>
      <c r="F540" s="2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2"/>
      <c r="F541" s="2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2"/>
      <c r="F542" s="2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2"/>
      <c r="F543" s="2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2"/>
      <c r="F544" s="2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2"/>
      <c r="F545" s="2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2"/>
      <c r="F546" s="2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2"/>
      <c r="F547" s="2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2"/>
      <c r="F548" s="2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2"/>
      <c r="F549" s="2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2"/>
      <c r="F550" s="2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2"/>
      <c r="F551" s="2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2"/>
      <c r="F552" s="2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2"/>
      <c r="F553" s="2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2"/>
      <c r="F554" s="2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2"/>
      <c r="F555" s="2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2"/>
      <c r="F556" s="2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2"/>
      <c r="F557" s="2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2"/>
      <c r="F558" s="2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2"/>
      <c r="F559" s="2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2"/>
      <c r="F560" s="2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2"/>
      <c r="F561" s="2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2"/>
      <c r="F562" s="2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2"/>
      <c r="F563" s="2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2"/>
      <c r="F564" s="2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2"/>
      <c r="F565" s="2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2"/>
      <c r="F566" s="2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2"/>
      <c r="F567" s="2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2"/>
      <c r="F568" s="2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2"/>
      <c r="F569" s="2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2"/>
      <c r="F570" s="2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2"/>
      <c r="F571" s="2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2"/>
      <c r="F572" s="2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2"/>
      <c r="F573" s="2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2"/>
      <c r="F574" s="2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2"/>
      <c r="F575" s="2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2"/>
      <c r="F576" s="2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2"/>
      <c r="F577" s="2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2"/>
      <c r="F578" s="2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2"/>
      <c r="F579" s="2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2"/>
      <c r="F580" s="2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2"/>
      <c r="F581" s="2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2"/>
      <c r="F582" s="2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2"/>
      <c r="F583" s="2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2"/>
      <c r="F584" s="2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2"/>
      <c r="F585" s="2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2"/>
      <c r="F586" s="2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2"/>
      <c r="F587" s="2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2"/>
      <c r="F588" s="2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2"/>
      <c r="F589" s="2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2"/>
      <c r="F590" s="2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2"/>
      <c r="F591" s="2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2"/>
      <c r="F592" s="2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2"/>
      <c r="F593" s="2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2"/>
      <c r="F594" s="2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2"/>
      <c r="F595" s="2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2"/>
      <c r="F596" s="2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2"/>
      <c r="F597" s="2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2"/>
      <c r="F598" s="2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2"/>
      <c r="F599" s="2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2"/>
      <c r="F600" s="2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2"/>
      <c r="F601" s="2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2"/>
      <c r="F602" s="2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2"/>
      <c r="F603" s="2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2"/>
      <c r="F604" s="2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2"/>
      <c r="F605" s="2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2"/>
      <c r="F606" s="2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2"/>
      <c r="F607" s="2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2"/>
      <c r="F608" s="2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2"/>
      <c r="F609" s="2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2"/>
      <c r="F610" s="2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2"/>
      <c r="F611" s="2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2"/>
      <c r="F612" s="2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2"/>
      <c r="F613" s="2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2"/>
      <c r="F614" s="2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2"/>
      <c r="F615" s="2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2"/>
      <c r="F616" s="2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2"/>
      <c r="F617" s="2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2"/>
      <c r="F618" s="2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2"/>
      <c r="F619" s="2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2"/>
      <c r="F620" s="2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2"/>
      <c r="F621" s="2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2"/>
      <c r="F622" s="2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2"/>
      <c r="F623" s="2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2"/>
      <c r="F624" s="2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2"/>
      <c r="F625" s="2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2"/>
      <c r="F626" s="2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2"/>
      <c r="F627" s="2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2"/>
      <c r="F628" s="2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2"/>
      <c r="F629" s="2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2"/>
      <c r="F630" s="2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2"/>
      <c r="F631" s="2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2"/>
      <c r="F632" s="2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2"/>
      <c r="F633" s="2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2"/>
      <c r="F634" s="2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2"/>
      <c r="F635" s="2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2"/>
      <c r="F636" s="2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2"/>
      <c r="F637" s="2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2"/>
      <c r="F638" s="2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2"/>
      <c r="F639" s="2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2"/>
      <c r="F640" s="2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2"/>
      <c r="F641" s="2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2"/>
      <c r="F642" s="2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2"/>
      <c r="F643" s="2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2"/>
      <c r="F644" s="2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2"/>
      <c r="F645" s="2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2"/>
      <c r="F646" s="2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2"/>
      <c r="F647" s="2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2"/>
      <c r="F648" s="2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2"/>
      <c r="F649" s="2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2"/>
      <c r="F650" s="2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2"/>
      <c r="F651" s="2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2"/>
      <c r="F652" s="2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2"/>
      <c r="F653" s="2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2"/>
      <c r="F654" s="2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2"/>
      <c r="F655" s="2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2"/>
      <c r="F656" s="2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2"/>
      <c r="F657" s="2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2"/>
      <c r="F658" s="2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2"/>
      <c r="F659" s="2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2"/>
      <c r="F660" s="2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2"/>
      <c r="F661" s="2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2"/>
      <c r="F662" s="2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2"/>
      <c r="F663" s="2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2"/>
      <c r="F664" s="2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2"/>
      <c r="F665" s="2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2"/>
      <c r="F666" s="2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2"/>
      <c r="F667" s="2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2"/>
      <c r="F668" s="2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2"/>
      <c r="F669" s="2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2"/>
      <c r="F670" s="2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2"/>
      <c r="F671" s="2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2"/>
      <c r="F672" s="2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2"/>
      <c r="F673" s="2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2"/>
      <c r="F674" s="2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2"/>
      <c r="F675" s="2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2"/>
      <c r="F676" s="2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2"/>
      <c r="F677" s="2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2"/>
      <c r="F678" s="2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2"/>
      <c r="F679" s="2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2"/>
      <c r="F680" s="2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2"/>
      <c r="F681" s="2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2"/>
      <c r="F682" s="2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2"/>
      <c r="F683" s="2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2"/>
      <c r="F684" s="2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2"/>
      <c r="F685" s="2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2"/>
      <c r="F686" s="2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2"/>
      <c r="F687" s="2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2"/>
      <c r="F688" s="2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2"/>
      <c r="F689" s="2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2"/>
      <c r="F690" s="2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2"/>
      <c r="F691" s="2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2"/>
      <c r="F692" s="2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2"/>
      <c r="F693" s="2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2"/>
      <c r="F694" s="2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2"/>
      <c r="F695" s="2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2"/>
      <c r="F696" s="2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2"/>
      <c r="F697" s="2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2"/>
      <c r="F698" s="2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2"/>
      <c r="F699" s="2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2"/>
      <c r="F700" s="2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2"/>
      <c r="F701" s="2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2"/>
      <c r="F702" s="2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2"/>
      <c r="F703" s="2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2"/>
      <c r="F704" s="2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2"/>
      <c r="F705" s="2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2"/>
      <c r="F706" s="2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2"/>
      <c r="F707" s="2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2"/>
      <c r="F708" s="2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2"/>
      <c r="F709" s="2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2"/>
      <c r="F710" s="2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2"/>
      <c r="F711" s="2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2"/>
      <c r="F712" s="2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2"/>
      <c r="F713" s="2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2"/>
      <c r="F714" s="2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2"/>
      <c r="F715" s="2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2"/>
      <c r="F716" s="2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2"/>
      <c r="F717" s="2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2"/>
      <c r="F718" s="2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2"/>
      <c r="F719" s="2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2"/>
      <c r="F720" s="2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2"/>
      <c r="F721" s="2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2"/>
      <c r="F722" s="2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2"/>
      <c r="F723" s="2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2"/>
      <c r="F724" s="2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2"/>
      <c r="F725" s="2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2"/>
      <c r="F726" s="2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2"/>
      <c r="F727" s="2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2"/>
      <c r="F728" s="2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2"/>
      <c r="F729" s="2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2"/>
      <c r="F730" s="2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2"/>
      <c r="F731" s="2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2"/>
      <c r="F732" s="2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2"/>
      <c r="F733" s="2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2"/>
      <c r="F734" s="2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2"/>
      <c r="F735" s="2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2"/>
      <c r="F736" s="2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2"/>
      <c r="F737" s="2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2"/>
      <c r="F738" s="2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2"/>
      <c r="F739" s="2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2"/>
      <c r="F740" s="2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2"/>
      <c r="F741" s="2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2"/>
      <c r="F742" s="2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2"/>
      <c r="F743" s="2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2"/>
      <c r="F744" s="2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2"/>
      <c r="F745" s="2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2"/>
      <c r="F746" s="2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2"/>
      <c r="F747" s="2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2"/>
      <c r="F748" s="2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2"/>
      <c r="F749" s="2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2"/>
      <c r="F750" s="2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2"/>
      <c r="F751" s="2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2"/>
      <c r="F752" s="2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2"/>
      <c r="F753" s="2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2"/>
      <c r="F754" s="2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2"/>
      <c r="F755" s="2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2"/>
      <c r="F756" s="2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2"/>
      <c r="F757" s="2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2"/>
      <c r="F758" s="2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2"/>
      <c r="F759" s="2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2"/>
      <c r="F760" s="2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2"/>
      <c r="F761" s="2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2"/>
      <c r="F762" s="2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2"/>
      <c r="F763" s="2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2"/>
      <c r="F764" s="2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2"/>
      <c r="F765" s="2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2"/>
      <c r="F766" s="2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2"/>
      <c r="F767" s="2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2"/>
      <c r="F768" s="2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2"/>
      <c r="F769" s="2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2"/>
      <c r="F770" s="2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2"/>
      <c r="F771" s="2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2"/>
      <c r="F772" s="2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2"/>
      <c r="F773" s="2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2"/>
      <c r="F774" s="2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2"/>
      <c r="F775" s="2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2"/>
      <c r="F776" s="2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2"/>
      <c r="F777" s="2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2"/>
      <c r="F778" s="2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2"/>
      <c r="F779" s="2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2"/>
      <c r="F780" s="2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2"/>
      <c r="F781" s="2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2"/>
      <c r="F782" s="2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2"/>
      <c r="F783" s="2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2"/>
      <c r="F784" s="2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2"/>
      <c r="F785" s="2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2"/>
      <c r="F786" s="2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2"/>
      <c r="F787" s="2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2"/>
      <c r="F788" s="2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2"/>
      <c r="F789" s="2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2"/>
      <c r="F790" s="2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2"/>
      <c r="F791" s="2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2"/>
      <c r="F792" s="2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2"/>
      <c r="F793" s="2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2"/>
      <c r="F794" s="2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2"/>
      <c r="F795" s="2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2"/>
      <c r="F796" s="2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2"/>
      <c r="F797" s="2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2"/>
      <c r="F798" s="2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2"/>
      <c r="F799" s="2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2"/>
      <c r="F800" s="2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2"/>
      <c r="F801" s="2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2"/>
      <c r="F802" s="2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2"/>
      <c r="F803" s="2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2"/>
      <c r="F804" s="2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2"/>
      <c r="F805" s="2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2"/>
      <c r="F806" s="2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2"/>
      <c r="F807" s="2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2"/>
      <c r="F808" s="2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2"/>
      <c r="F809" s="2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2"/>
      <c r="F810" s="2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2"/>
      <c r="F811" s="2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2"/>
      <c r="F812" s="2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2"/>
      <c r="F813" s="2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2"/>
      <c r="F814" s="2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2"/>
      <c r="F815" s="2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2"/>
      <c r="F816" s="2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2"/>
      <c r="F817" s="2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2"/>
      <c r="F818" s="2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2"/>
      <c r="F819" s="2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2"/>
      <c r="F820" s="2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2"/>
      <c r="F821" s="2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2"/>
      <c r="F822" s="2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2"/>
      <c r="F823" s="2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2"/>
      <c r="F824" s="2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2"/>
      <c r="F825" s="2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2"/>
      <c r="F826" s="2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2"/>
      <c r="F827" s="2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2"/>
      <c r="F828" s="2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2"/>
      <c r="F829" s="2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2"/>
      <c r="F830" s="2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2"/>
      <c r="F831" s="2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2"/>
      <c r="F832" s="2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2"/>
      <c r="F833" s="2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2"/>
      <c r="F834" s="2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2"/>
      <c r="F835" s="2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2"/>
      <c r="F836" s="2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2"/>
      <c r="F837" s="2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2"/>
      <c r="F838" s="2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2"/>
      <c r="F839" s="2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2"/>
      <c r="F840" s="2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2"/>
      <c r="F841" s="2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2"/>
      <c r="F842" s="2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2"/>
      <c r="F843" s="2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2"/>
      <c r="F844" s="2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2"/>
      <c r="F845" s="2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2"/>
      <c r="F846" s="2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2"/>
      <c r="F847" s="2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2"/>
      <c r="F848" s="2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2"/>
      <c r="F849" s="2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2"/>
      <c r="F850" s="2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2"/>
      <c r="F851" s="2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2"/>
      <c r="F852" s="2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2"/>
      <c r="F853" s="2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2"/>
      <c r="F854" s="2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2"/>
      <c r="F855" s="2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2"/>
      <c r="F856" s="2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2"/>
      <c r="F857" s="2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2"/>
      <c r="F858" s="2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2"/>
      <c r="F859" s="2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2"/>
      <c r="F860" s="2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2"/>
      <c r="F861" s="2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2"/>
      <c r="F862" s="2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2"/>
      <c r="F863" s="2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2"/>
      <c r="F864" s="2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2"/>
      <c r="F865" s="2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2"/>
      <c r="F866" s="2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2"/>
      <c r="F867" s="2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2"/>
      <c r="F868" s="2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2"/>
      <c r="F869" s="2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2"/>
      <c r="F870" s="2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2"/>
      <c r="F871" s="2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2"/>
      <c r="F872" s="2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2"/>
      <c r="F873" s="2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2"/>
      <c r="F874" s="2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2"/>
      <c r="F875" s="2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2"/>
      <c r="F876" s="2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2"/>
      <c r="F877" s="2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2"/>
      <c r="F878" s="2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2"/>
      <c r="F879" s="2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2"/>
      <c r="F880" s="2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2"/>
      <c r="F881" s="2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2"/>
      <c r="F882" s="2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2"/>
      <c r="F883" s="2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2"/>
      <c r="F884" s="2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2"/>
      <c r="F885" s="2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2"/>
      <c r="F886" s="2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2"/>
      <c r="F887" s="2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2"/>
      <c r="F888" s="2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2"/>
      <c r="F889" s="2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2"/>
      <c r="F890" s="2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2"/>
      <c r="F891" s="2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2"/>
      <c r="F892" s="2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2"/>
      <c r="F893" s="2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2"/>
      <c r="F894" s="2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2"/>
      <c r="F895" s="2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2"/>
      <c r="F896" s="2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2"/>
      <c r="F897" s="2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2"/>
      <c r="F898" s="2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2"/>
      <c r="F899" s="2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2"/>
      <c r="F900" s="2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2"/>
      <c r="F901" s="2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2"/>
      <c r="F902" s="2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2"/>
      <c r="F903" s="2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2"/>
      <c r="F904" s="2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2"/>
      <c r="F905" s="2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2"/>
      <c r="F906" s="2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2"/>
      <c r="F907" s="2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2"/>
      <c r="F908" s="2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2"/>
      <c r="F909" s="2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2"/>
      <c r="F910" s="2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2"/>
      <c r="F911" s="2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2"/>
      <c r="F912" s="2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2"/>
      <c r="F913" s="2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2"/>
      <c r="F914" s="2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2"/>
      <c r="F915" s="2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2"/>
      <c r="F916" s="2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2"/>
      <c r="F917" s="2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2"/>
      <c r="F918" s="2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2"/>
      <c r="F919" s="2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2"/>
      <c r="F920" s="2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2"/>
      <c r="F921" s="2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2"/>
      <c r="F922" s="2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2"/>
      <c r="F923" s="2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2"/>
      <c r="F924" s="2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2"/>
      <c r="F925" s="2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2"/>
      <c r="F926" s="2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2"/>
      <c r="F927" s="2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2"/>
      <c r="F928" s="2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2"/>
      <c r="F929" s="2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2"/>
      <c r="F930" s="2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2"/>
      <c r="F931" s="2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2"/>
      <c r="F932" s="2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2"/>
      <c r="F933" s="2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2"/>
      <c r="F934" s="2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2"/>
      <c r="F935" s="2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2"/>
      <c r="F936" s="2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2"/>
      <c r="F937" s="2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2"/>
      <c r="F938" s="2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2"/>
      <c r="F939" s="2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2"/>
      <c r="F940" s="2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2"/>
      <c r="F941" s="2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2"/>
      <c r="F942" s="2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2"/>
      <c r="F943" s="2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2"/>
      <c r="F944" s="2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2"/>
      <c r="F945" s="2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2"/>
      <c r="F946" s="2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2"/>
      <c r="F947" s="2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2"/>
      <c r="F948" s="2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2"/>
      <c r="F949" s="2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2"/>
      <c r="F950" s="2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2"/>
      <c r="F951" s="2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2"/>
      <c r="F952" s="2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2"/>
      <c r="F953" s="2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2"/>
      <c r="F954" s="2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2"/>
      <c r="F955" s="2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2"/>
      <c r="F956" s="2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2"/>
      <c r="F957" s="2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2"/>
      <c r="F958" s="2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2"/>
      <c r="F959" s="2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2"/>
      <c r="F960" s="2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2"/>
      <c r="F961" s="2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2"/>
      <c r="F962" s="2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2"/>
      <c r="F963" s="2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2"/>
      <c r="F964" s="2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2"/>
      <c r="F965" s="2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2"/>
      <c r="F966" s="2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2"/>
      <c r="F967" s="2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2"/>
      <c r="F968" s="2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2"/>
      <c r="F969" s="2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2"/>
      <c r="F970" s="2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2"/>
      <c r="F971" s="2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2"/>
      <c r="F972" s="2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2"/>
      <c r="F973" s="2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2"/>
      <c r="F974" s="2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2"/>
      <c r="F975" s="2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2"/>
      <c r="F976" s="2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2"/>
      <c r="F977" s="2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2"/>
      <c r="F978" s="2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2"/>
      <c r="F979" s="2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2"/>
      <c r="F980" s="2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2"/>
      <c r="F981" s="2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2"/>
      <c r="F982" s="2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2"/>
      <c r="F983" s="2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2"/>
      <c r="F984" s="2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2"/>
      <c r="F985" s="2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2"/>
      <c r="F986" s="2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2"/>
      <c r="F987" s="2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2"/>
      <c r="F988" s="2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2"/>
      <c r="F989" s="2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2"/>
      <c r="F990" s="2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2"/>
      <c r="F991" s="2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2"/>
      <c r="F992" s="2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2"/>
      <c r="F993" s="2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2"/>
      <c r="F994" s="2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2"/>
      <c r="F995" s="2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2"/>
      <c r="F996" s="2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2"/>
      <c r="F997" s="2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2"/>
      <c r="F998" s="2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2"/>
      <c r="F999" s="2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2"/>
      <c r="F1000" s="2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A1001" s="1"/>
      <c r="B1001" s="1"/>
      <c r="C1001" s="1"/>
      <c r="D1001" s="1"/>
      <c r="E1001" s="2"/>
      <c r="F1001" s="2"/>
      <c r="G1001" s="2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>
      <c r="A1002" s="1"/>
      <c r="B1002" s="1"/>
      <c r="F1002" s="2"/>
      <c r="G1002" s="2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</sheetData>
  <mergeCells count="31">
    <mergeCell ref="K2:P2"/>
    <mergeCell ref="R2:W2"/>
    <mergeCell ref="F4:F9"/>
    <mergeCell ref="K4:K6"/>
    <mergeCell ref="R4:R6"/>
    <mergeCell ref="K8:K10"/>
    <mergeCell ref="R8:R10"/>
    <mergeCell ref="B4:B9"/>
    <mergeCell ref="F10:F15"/>
    <mergeCell ref="G10:G15"/>
    <mergeCell ref="K13:K18"/>
    <mergeCell ref="M13:P18"/>
    <mergeCell ref="R13:R18"/>
    <mergeCell ref="T13:W18"/>
    <mergeCell ref="G22:G27"/>
    <mergeCell ref="H22:H27"/>
    <mergeCell ref="F22:F27"/>
    <mergeCell ref="F28:F33"/>
    <mergeCell ref="G28:G33"/>
    <mergeCell ref="H28:H33"/>
    <mergeCell ref="B35:D35"/>
    <mergeCell ref="F35:H35"/>
    <mergeCell ref="E37:H37"/>
    <mergeCell ref="D41:H41"/>
    <mergeCell ref="B10:B15"/>
    <mergeCell ref="B16:B21"/>
    <mergeCell ref="F16:F21"/>
    <mergeCell ref="G16:G21"/>
    <mergeCell ref="H16:H21"/>
    <mergeCell ref="B22:B27"/>
    <mergeCell ref="B28:B33"/>
  </mergeCells>
  <conditionalFormatting sqref="H43:H48">
    <cfRule type="cellIs" dxfId="0" priority="1" operator="greaterThan">
      <formula>0</formula>
    </cfRule>
  </conditionalFormatting>
  <conditionalFormatting sqref="H43:H48">
    <cfRule type="cellIs" dxfId="1" priority="2" operator="lessThan">
      <formula>0</formula>
    </cfRule>
  </conditionalFormatting>
  <drawing r:id="rId4"/>
  <legacyDrawing r:id="rId5"/>
</worksheet>
</file>